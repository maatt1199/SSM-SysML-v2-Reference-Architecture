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et-my.sharepoint.com/personal/ttmh3_lunet_lboro_ac_uk/Documents/SSM Paper Models/GitHub Push/POPIT/"/>
    </mc:Choice>
  </mc:AlternateContent>
  <xr:revisionPtr revIDLastSave="0" documentId="8_{8E9A3863-1C03-444E-AD69-11F575940EA6}" xr6:coauthVersionLast="47" xr6:coauthVersionMax="47" xr10:uidLastSave="{00000000-0000-0000-0000-000000000000}"/>
  <bookViews>
    <workbookView xWindow="0" yWindow="0" windowWidth="38400" windowHeight="21600" xr2:uid="{FA7A30E8-C90B-A443-89CA-DA66151B50ED}"/>
  </bookViews>
  <sheets>
    <sheet name="POPIT Question Set" sheetId="1" r:id="rId1"/>
    <sheet name="POPIT Templat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5" i="3"/>
  <c r="C4" i="3"/>
  <c r="C3" i="3"/>
  <c r="C2" i="3"/>
  <c r="C6" i="1"/>
  <c r="C5" i="1"/>
  <c r="C4" i="1"/>
  <c r="C3" i="1"/>
  <c r="C2" i="1"/>
</calcChain>
</file>

<file path=xl/sharedStrings.xml><?xml version="1.0" encoding="utf-8"?>
<sst xmlns="http://schemas.openxmlformats.org/spreadsheetml/2006/main" count="40" uniqueCount="20">
  <si>
    <t>Question</t>
  </si>
  <si>
    <t>What triggers this work/transfer of data?</t>
  </si>
  <si>
    <t>What is the nature of this work and what data/artefacts are transferred?</t>
  </si>
  <si>
    <t>Which team(s) do you work with? What is the nature of this work and what data/artefacts are transferred?</t>
  </si>
  <si>
    <t>Describe your roles and responsibilities, including which tools you use.</t>
  </si>
  <si>
    <t>What team do you work in and what is your job title?</t>
  </si>
  <si>
    <t>People</t>
  </si>
  <si>
    <t>Organisation</t>
  </si>
  <si>
    <t>Process</t>
  </si>
  <si>
    <t>Information</t>
  </si>
  <si>
    <t>Technology</t>
  </si>
  <si>
    <t>POPIT Legend</t>
  </si>
  <si>
    <t>Individuals, Roles, Stakeholders</t>
  </si>
  <si>
    <t>Teams, departments, organisational relationships</t>
  </si>
  <si>
    <t>Activities, triggers, workflows</t>
  </si>
  <si>
    <t>Data, artefacts, documents exchanged</t>
  </si>
  <si>
    <t>Tools, systems, platforms used</t>
  </si>
  <si>
    <t>#</t>
  </si>
  <si>
    <t>POPIT Category</t>
  </si>
  <si>
    <t>Assigned?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</si>
</sst>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PT Serif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9F338-6139-7543-99B8-1B0B5E193761}">
  <dimension ref="A1:K14"/>
  <sheetViews>
    <sheetView showGridLines="0" tabSelected="1" zoomScale="186" workbookViewId="0">
      <selection activeCell="D14" sqref="D14"/>
    </sheetView>
  </sheetViews>
  <sheetFormatPr baseColWidth="10" defaultColWidth="0" defaultRowHeight="16" zeroHeight="1" x14ac:dyDescent="0.2"/>
  <cols>
    <col min="1" max="1" width="15.33203125" customWidth="1"/>
    <col min="2" max="2" width="92.83203125" customWidth="1"/>
    <col min="3" max="3" width="13.5" customWidth="1"/>
    <col min="4" max="4" width="14.6640625" customWidth="1"/>
    <col min="12" max="16384" width="10.83203125" hidden="1"/>
  </cols>
  <sheetData>
    <row r="1" spans="1:3" ht="17" thickBot="1" x14ac:dyDescent="0.25">
      <c r="A1" s="13" t="s">
        <v>11</v>
      </c>
      <c r="B1" s="14"/>
      <c r="C1" s="12" t="s">
        <v>19</v>
      </c>
    </row>
    <row r="2" spans="1:3" x14ac:dyDescent="0.2">
      <c r="A2" s="2" t="s">
        <v>6</v>
      </c>
      <c r="B2" s="3" t="s">
        <v>12</v>
      </c>
      <c r="C2" s="3" t="str">
        <f>IF(COUNTIF(C9:C22,"*People*")&gt;0,"✓","")</f>
        <v>✓</v>
      </c>
    </row>
    <row r="3" spans="1:3" x14ac:dyDescent="0.2">
      <c r="A3" s="2" t="s">
        <v>7</v>
      </c>
      <c r="B3" s="3" t="s">
        <v>13</v>
      </c>
      <c r="C3" s="3" t="str">
        <f>IF(COUNTIF(C9:C22,"*Organisation*")&gt;0,"✓","")</f>
        <v>✓</v>
      </c>
    </row>
    <row r="4" spans="1:3" x14ac:dyDescent="0.2">
      <c r="A4" s="2" t="s">
        <v>8</v>
      </c>
      <c r="B4" s="3" t="s">
        <v>14</v>
      </c>
      <c r="C4" s="3" t="str">
        <f>IF(COUNTIF(C9:C22,"*Process*")&gt;0,"✓","")</f>
        <v>✓</v>
      </c>
    </row>
    <row r="5" spans="1:3" x14ac:dyDescent="0.2">
      <c r="A5" s="2" t="s">
        <v>9</v>
      </c>
      <c r="B5" s="3" t="s">
        <v>15</v>
      </c>
      <c r="C5" s="3" t="str">
        <f>IF(COUNTIF(C9:C22,"*Information*")&gt;0,"✓","")</f>
        <v>✓</v>
      </c>
    </row>
    <row r="6" spans="1:3" ht="17" thickBot="1" x14ac:dyDescent="0.25">
      <c r="A6" s="7" t="s">
        <v>10</v>
      </c>
      <c r="B6" s="8" t="s">
        <v>16</v>
      </c>
      <c r="C6" s="8" t="str">
        <f>IF(COUNTIF(C9:C22,"*Technology*")&gt;0,"✓","")</f>
        <v>✓</v>
      </c>
    </row>
    <row r="7" spans="1:3" ht="17" thickBot="1" x14ac:dyDescent="0.25">
      <c r="A7" s="4"/>
      <c r="B7" s="5"/>
      <c r="C7" s="6"/>
    </row>
    <row r="8" spans="1:3" ht="17" thickBot="1" x14ac:dyDescent="0.25">
      <c r="A8" s="11" t="s">
        <v>17</v>
      </c>
      <c r="B8" s="12" t="s">
        <v>0</v>
      </c>
      <c r="C8" s="12" t="s">
        <v>18</v>
      </c>
    </row>
    <row r="9" spans="1:3" x14ac:dyDescent="0.2">
      <c r="A9" s="2">
        <v>1</v>
      </c>
      <c r="B9" s="9" t="s">
        <v>5</v>
      </c>
      <c r="C9" s="3" t="s">
        <v>6</v>
      </c>
    </row>
    <row r="10" spans="1:3" x14ac:dyDescent="0.2">
      <c r="A10" s="2">
        <v>2</v>
      </c>
      <c r="B10" s="9" t="s">
        <v>4</v>
      </c>
      <c r="C10" s="3" t="s">
        <v>10</v>
      </c>
    </row>
    <row r="11" spans="1:3" x14ac:dyDescent="0.2">
      <c r="A11" s="2">
        <v>3</v>
      </c>
      <c r="B11" s="9" t="s">
        <v>3</v>
      </c>
      <c r="C11" s="3" t="s">
        <v>7</v>
      </c>
    </row>
    <row r="12" spans="1:3" x14ac:dyDescent="0.2">
      <c r="A12" s="2">
        <v>4</v>
      </c>
      <c r="B12" s="9" t="s">
        <v>2</v>
      </c>
      <c r="C12" s="3" t="s">
        <v>9</v>
      </c>
    </row>
    <row r="13" spans="1:3" ht="17" thickBot="1" x14ac:dyDescent="0.25">
      <c r="A13" s="7">
        <v>5</v>
      </c>
      <c r="B13" s="10" t="s">
        <v>1</v>
      </c>
      <c r="C13" s="8" t="s">
        <v>8</v>
      </c>
    </row>
    <row r="14" spans="1:3" x14ac:dyDescent="0.2">
      <c r="A14" s="1"/>
      <c r="B14" s="1"/>
      <c r="C14" s="1"/>
    </row>
  </sheetData>
  <sheetProtection algorithmName="SHA-512" hashValue="WyWiaXD8nlzmNpEPmvb9MKjEftPaOj7vdAuko9PtfqJ+e6qk9OsZDVuqQ0bal65ibNRWyrwSiAVzi9wrYImLZQ==" saltValue="GAxkr+Zs/o+cBL2/ECr+Bw==" spinCount="100000" sheet="1" objects="1" scenarios="1"/>
  <mergeCells count="1">
    <mergeCell ref="A1:B1"/>
  </mergeCells>
  <dataValidations count="1">
    <dataValidation type="list" allowBlank="1" showInputMessage="1" showErrorMessage="1" sqref="C9:C13" xr:uid="{336ED320-1841-D44E-BD8D-22F8BD2E7F14}">
      <formula1>"People,Organisation,Process,Information,Technology"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EF4E-AEB5-434A-BC71-D065B691D9A7}">
  <dimension ref="A1:K23"/>
  <sheetViews>
    <sheetView showGridLines="0" zoomScale="175" workbookViewId="0">
      <selection activeCell="D23" sqref="D23"/>
    </sheetView>
  </sheetViews>
  <sheetFormatPr baseColWidth="10" defaultColWidth="0" defaultRowHeight="16" zeroHeight="1" x14ac:dyDescent="0.2"/>
  <cols>
    <col min="1" max="1" width="15.33203125" customWidth="1"/>
    <col min="2" max="2" width="92.83203125" customWidth="1"/>
    <col min="3" max="3" width="16.83203125" customWidth="1"/>
    <col min="4" max="4" width="14.6640625" customWidth="1"/>
    <col min="12" max="16384" width="10.83203125" hidden="1"/>
  </cols>
  <sheetData>
    <row r="1" spans="1:3" ht="17" thickBot="1" x14ac:dyDescent="0.25">
      <c r="A1" s="13" t="s">
        <v>11</v>
      </c>
      <c r="B1" s="16"/>
      <c r="C1" s="12" t="s">
        <v>19</v>
      </c>
    </row>
    <row r="2" spans="1:3" x14ac:dyDescent="0.2">
      <c r="A2" s="17" t="s">
        <v>6</v>
      </c>
      <c r="B2" s="18" t="s">
        <v>12</v>
      </c>
      <c r="C2" s="19" t="str">
        <f>IF(COUNTIF(C9:C22,"*People*")&gt;0,"✓","")</f>
        <v/>
      </c>
    </row>
    <row r="3" spans="1:3" x14ac:dyDescent="0.2">
      <c r="A3" s="20" t="s">
        <v>7</v>
      </c>
      <c r="B3" s="21" t="s">
        <v>13</v>
      </c>
      <c r="C3" s="22" t="str">
        <f>IF(COUNTIF(C9:C22,"*Organisation*")&gt;0,"✓","")</f>
        <v/>
      </c>
    </row>
    <row r="4" spans="1:3" x14ac:dyDescent="0.2">
      <c r="A4" s="20" t="s">
        <v>8</v>
      </c>
      <c r="B4" s="21" t="s">
        <v>14</v>
      </c>
      <c r="C4" s="22" t="str">
        <f>IF(COUNTIF(C9:C22,"*Process*")&gt;0,"✓","")</f>
        <v/>
      </c>
    </row>
    <row r="5" spans="1:3" x14ac:dyDescent="0.2">
      <c r="A5" s="20" t="s">
        <v>9</v>
      </c>
      <c r="B5" s="21" t="s">
        <v>15</v>
      </c>
      <c r="C5" s="22" t="str">
        <f>IF(COUNTIF(C9:C22,"*Information*")&gt;0,"✓","")</f>
        <v/>
      </c>
    </row>
    <row r="6" spans="1:3" ht="17" thickBot="1" x14ac:dyDescent="0.25">
      <c r="A6" s="23" t="s">
        <v>10</v>
      </c>
      <c r="B6" s="24" t="s">
        <v>16</v>
      </c>
      <c r="C6" s="25" t="str">
        <f>IF(COUNTIF(C9:C22,"*Technology*")&gt;0,"✓","")</f>
        <v/>
      </c>
    </row>
    <row r="7" spans="1:3" ht="17" thickBot="1" x14ac:dyDescent="0.25">
      <c r="A7" s="4"/>
      <c r="B7" s="5"/>
      <c r="C7" s="6"/>
    </row>
    <row r="8" spans="1:3" ht="17" thickBot="1" x14ac:dyDescent="0.25">
      <c r="A8" s="11" t="s">
        <v>17</v>
      </c>
      <c r="B8" s="15" t="s">
        <v>0</v>
      </c>
      <c r="C8" s="12" t="s">
        <v>18</v>
      </c>
    </row>
    <row r="9" spans="1:3" x14ac:dyDescent="0.2">
      <c r="A9" s="17">
        <v>1</v>
      </c>
      <c r="B9" s="32"/>
      <c r="C9" s="19"/>
    </row>
    <row r="10" spans="1:3" x14ac:dyDescent="0.2">
      <c r="A10" s="20">
        <v>2</v>
      </c>
      <c r="B10" s="33"/>
      <c r="C10" s="22"/>
    </row>
    <row r="11" spans="1:3" x14ac:dyDescent="0.2">
      <c r="A11" s="20">
        <v>3</v>
      </c>
      <c r="B11" s="33"/>
      <c r="C11" s="22"/>
    </row>
    <row r="12" spans="1:3" x14ac:dyDescent="0.2">
      <c r="A12" s="20">
        <v>4</v>
      </c>
      <c r="B12" s="33"/>
      <c r="C12" s="22"/>
    </row>
    <row r="13" spans="1:3" x14ac:dyDescent="0.2">
      <c r="A13" s="20">
        <v>5</v>
      </c>
      <c r="B13" s="33"/>
      <c r="C13" s="22"/>
    </row>
    <row r="14" spans="1:3" x14ac:dyDescent="0.2">
      <c r="A14" s="26">
        <v>6</v>
      </c>
      <c r="B14" s="34"/>
      <c r="C14" s="27"/>
    </row>
    <row r="15" spans="1:3" x14ac:dyDescent="0.2">
      <c r="A15" s="26">
        <v>7</v>
      </c>
      <c r="B15" s="28"/>
      <c r="C15" s="27"/>
    </row>
    <row r="16" spans="1:3" x14ac:dyDescent="0.2">
      <c r="A16" s="26">
        <v>8</v>
      </c>
      <c r="B16" s="28"/>
      <c r="C16" s="27"/>
    </row>
    <row r="17" spans="1:3" x14ac:dyDescent="0.2">
      <c r="A17" s="26">
        <v>9</v>
      </c>
      <c r="B17" s="28"/>
      <c r="C17" s="27"/>
    </row>
    <row r="18" spans="1:3" x14ac:dyDescent="0.2">
      <c r="A18" s="26">
        <v>10</v>
      </c>
      <c r="B18" s="28"/>
      <c r="C18" s="27"/>
    </row>
    <row r="19" spans="1:3" x14ac:dyDescent="0.2">
      <c r="A19" s="26">
        <v>11</v>
      </c>
      <c r="B19" s="28"/>
      <c r="C19" s="27"/>
    </row>
    <row r="20" spans="1:3" x14ac:dyDescent="0.2">
      <c r="A20" s="26">
        <v>12</v>
      </c>
      <c r="B20" s="28"/>
      <c r="C20" s="27"/>
    </row>
    <row r="21" spans="1:3" x14ac:dyDescent="0.2">
      <c r="A21" s="26">
        <v>13</v>
      </c>
      <c r="B21" s="28"/>
      <c r="C21" s="27"/>
    </row>
    <row r="22" spans="1:3" ht="17" thickBot="1" x14ac:dyDescent="0.25">
      <c r="A22" s="30">
        <v>14</v>
      </c>
      <c r="B22" s="29"/>
      <c r="C22" s="31"/>
    </row>
    <row r="23" spans="1:3" x14ac:dyDescent="0.2"/>
  </sheetData>
  <mergeCells count="1">
    <mergeCell ref="A1:B1"/>
  </mergeCells>
  <dataValidations count="1">
    <dataValidation type="list" allowBlank="1" showInputMessage="1" showErrorMessage="1" sqref="C9:C22" xr:uid="{AB2DB9CF-9EE3-FC4F-8254-88EC2D8DDE48}">
      <formula1>"People,Organisation,Process,Information,Technology"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POPIT Question Set</vt:lpstr>
      <vt:lpstr>POPIT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Harrison</dc:creator>
  <cp:lastModifiedBy>Matthew Harrison</cp:lastModifiedBy>
  <dcterms:created xsi:type="dcterms:W3CDTF">2026-04-07T12:30:03Z</dcterms:created>
  <dcterms:modified xsi:type="dcterms:W3CDTF">2026-04-07T12:58:44Z</dcterms:modified>
</cp:coreProperties>
</file>